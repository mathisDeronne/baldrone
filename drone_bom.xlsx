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dmin\Desktop\proj\projet drone\"/>
    </mc:Choice>
  </mc:AlternateContent>
  <xr:revisionPtr revIDLastSave="0" documentId="13_ncr:1_{4B40B0AB-FC1A-4E3F-8B95-AF719CCEC63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OM Drone Autonome" sheetId="1" r:id="rId1"/>
  </sheets>
  <definedNames>
    <definedName name="_xlnm.Print_Area" localSheetId="0">'BOM Drone Autonome'!$A$1:$G$28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5" i="1" l="1"/>
  <c r="E20" i="1"/>
  <c r="F19" i="1"/>
  <c r="F18" i="1"/>
  <c r="F12" i="1"/>
  <c r="F11" i="1"/>
  <c r="F9" i="1"/>
  <c r="F8" i="1"/>
  <c r="F7" i="1"/>
  <c r="F20" i="1"/>
</calcChain>
</file>

<file path=xl/sharedStrings.xml><?xml version="1.0" encoding="utf-8"?>
<sst xmlns="http://schemas.openxmlformats.org/spreadsheetml/2006/main" count="69" uniqueCount="58">
  <si>
    <t>BOM — Projet Drone Autonome 8 Moteurs</t>
  </si>
  <si>
    <t>6× D1306-4000KV + 2× SK3 2830-1130KV — Dual ESP32 — DShot300 — BNO085 IMU</t>
  </si>
  <si>
    <t>Catégorie</t>
  </si>
  <si>
    <t>Composant</t>
  </si>
  <si>
    <t>Qté</t>
  </si>
  <si>
    <t>Spécifications</t>
  </si>
  <si>
    <t>Prix unitaire</t>
  </si>
  <si>
    <t>Prix total</t>
  </si>
  <si>
    <t>Lien d'achat</t>
  </si>
  <si>
    <t>Moteurs</t>
  </si>
  <si>
    <t>D1306-4000KV CW</t>
  </si>
  <si>
    <t>11.5g, 200g thrust @7.4V, hélice 6020</t>
  </si>
  <si>
    <t>Aerodrive SK3 2830-1130KV</t>
  </si>
  <si>
    <t>58g, 852g thrust @11.1V, hélice 9×4.5, arbre 3mm</t>
  </si>
  <si>
    <t>Hélices</t>
  </si>
  <si>
    <t>Hélices 9×4.5 (lot)</t>
  </si>
  <si>
    <t>Pour SK3 — APC, Gemfan ou HQProp</t>
  </si>
  <si>
    <t>ESC</t>
  </si>
  <si>
    <t>ESC 10A BLHeli_S</t>
  </si>
  <si>
    <t>DShot300 compatible, entrée 2S (7.4V)</t>
  </si>
  <si>
    <t>ESC 25A BLHeli_S</t>
  </si>
  <si>
    <t>DShot300 compatible, entrée 3S (11.1V)</t>
  </si>
  <si>
    <t>Batterie</t>
  </si>
  <si>
    <t>Zeee 3S 5200mAh 80C LiPo</t>
  </si>
  <si>
    <t>11.1V, 416A max discharge, 57.7Wh, 380g, connecteur EC5</t>
  </si>
  <si>
    <t>Alimentation</t>
  </si>
  <si>
    <t>Buck converter 25A (XL4016)</t>
  </si>
  <si>
    <t>11.1V → 7.4V, rendement ~92%, alimente 3× D1306 chacun</t>
  </si>
  <si>
    <t>Buck converter 3A</t>
  </si>
  <si>
    <t>11.1V → 5V, alimentation ESP32s</t>
  </si>
  <si>
    <t>Contrôle</t>
  </si>
  <si>
    <t>ESP32 WROOM-32</t>
  </si>
  <si>
    <t>Contrôleur de vol, 8× RMT DShot300, PID + Mixer</t>
  </si>
  <si>
    <t>Vidéo</t>
  </si>
  <si>
    <t>ESP32-CAM (OV2640)</t>
  </si>
  <si>
    <t>Streaming MJPEG WiFi, 320×240 @15fps</t>
  </si>
  <si>
    <t>Capteur</t>
  </si>
  <si>
    <t>BNO085 IMU 9DOF</t>
  </si>
  <si>
    <t>Gyroscope + Accéléromètre + Magnétomètre, I2C, quaternions intégrés, 3.3V</t>
  </si>
  <si>
    <t>Structure</t>
  </si>
  <si>
    <t>Filament PETG 1kg</t>
  </si>
  <si>
    <t>Cadre drone, infill 15-20% gyroïde, 230-240°C</t>
  </si>
  <si>
    <t>Filament ABS 0.5kg</t>
  </si>
  <si>
    <t>Hélices D1306 (6020), 100% infill, lissage acétone</t>
  </si>
  <si>
    <t>Fixation</t>
  </si>
  <si>
    <t>Visserie M2/M3 + inserts laiton</t>
  </si>
  <si>
    <t>Vis, écrous, rondelles, inserts thermiques M2 et M3</t>
  </si>
  <si>
    <t>Câblage</t>
  </si>
  <si>
    <t>Connecteurs + câbles silicone</t>
  </si>
  <si>
    <t>XT60, bullet 3.5mm, câbles AWG 14-20, gaine thermorétractable</t>
  </si>
  <si>
    <t>TOTAL ESTIMÉ</t>
  </si>
  <si>
    <t>NOTES :</t>
  </si>
  <si>
    <t>• Remplir la colonne G (jaune) avec vos liens d'achat.</t>
  </si>
  <si>
    <t>• Les prix sont des estimations indicatives.</t>
  </si>
  <si>
    <t>• Poids total estimé : ~1130g — Poussée totale : 2904g — Ratio : 2.57:1.</t>
  </si>
  <si>
    <t>• Autonomie : ~9 min (stationnaire) à ~15 min (éco).</t>
  </si>
  <si>
    <t>• Hélices SK3 (9×4.5) : achetées. Hélices D1306 (6020) : imprimées ABS + lissage acétone.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</si>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</sst>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€&quot;"/>
  </numFmts>
  <fonts count="10" x14ac:knownFonts="1">
    <font>
      <sz val="11"/>
      <color theme="1"/>
      <name val="Calibri"/>
      <family val="2"/>
      <charset val="1"/>
    </font>
    <font>
      <b/>
      <sz val="14"/>
      <color rgb="FF1A237E"/>
      <name val="Arial"/>
      <charset val="1"/>
    </font>
    <font>
      <sz val="9"/>
      <color rgb="FF666666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b/>
      <sz val="10"/>
      <color rgb="FF1A237E"/>
      <name val="Arial"/>
      <charset val="1"/>
    </font>
    <font>
      <b/>
      <sz val="10"/>
      <name val="Arial"/>
      <charset val="1"/>
    </font>
    <font>
      <b/>
      <sz val="8"/>
      <color rgb="FF666666"/>
      <name val="Arial"/>
      <charset val="1"/>
    </font>
    <font>
      <sz val="8"/>
      <color rgb="FF666666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283593"/>
        <bgColor rgb="FF1A237E"/>
      </patternFill>
    </fill>
    <fill>
      <patternFill patternType="solid">
        <fgColor rgb="FFFFF9C4"/>
        <bgColor rgb="FFFFFF99"/>
      </patternFill>
    </fill>
    <fill>
      <patternFill patternType="solid">
        <fgColor rgb="FFF5F6FA"/>
        <bgColor rgb="FFFFFFFF"/>
      </patternFill>
    </fill>
    <fill>
      <patternFill patternType="solid">
        <fgColor rgb="FFE8EAF6"/>
        <bgColor rgb="FFF5F6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9" fillId="0" borderId="0" xfId="0" applyFont="1"/>
    <xf numFmtId="0" fontId="8" fillId="0" borderId="0" xfId="0" applyFont="1"/>
    <xf numFmtId="0" fontId="6" fillId="5" borderId="1" xfId="0" applyFont="1" applyFill="1" applyBorder="1" applyAlignment="1">
      <alignment horizontal="right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E8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6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A237E"/>
      <rgbColor rgb="FF339966"/>
      <rgbColor rgb="FF003300"/>
      <rgbColor rgb="FF333300"/>
      <rgbColor rgb="FF993300"/>
      <rgbColor rgb="FF993366"/>
      <rgbColor rgb="FF283593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7"/>
  <sheetViews>
    <sheetView tabSelected="1" zoomScaleNormal="100" workbookViewId="0">
      <pane ySplit="4" topLeftCell="A6" activePane="bottomLeft" state="frozen"/>
      <selection pane="bottomLeft" activeCell="E16" sqref="E16"/>
    </sheetView>
  </sheetViews>
  <sheetFormatPr defaultColWidth="8.7109375" defaultRowHeight="15" x14ac:dyDescent="0.25"/>
  <cols>
    <col min="1" max="1" width="14" customWidth="1"/>
    <col min="2" max="2" width="26" customWidth="1"/>
    <col min="3" max="3" width="8" customWidth="1"/>
    <col min="4" max="4" width="36" customWidth="1"/>
    <col min="5" max="6" width="12" customWidth="1"/>
    <col min="7" max="7" width="40" customWidth="1"/>
  </cols>
  <sheetData>
    <row r="1" spans="1:7" ht="30" customHeight="1" x14ac:dyDescent="0.25">
      <c r="A1" s="5" t="s">
        <v>0</v>
      </c>
      <c r="B1" s="5"/>
      <c r="C1" s="5"/>
      <c r="D1" s="5"/>
      <c r="E1" s="5"/>
      <c r="F1" s="5"/>
      <c r="G1" s="5"/>
    </row>
    <row r="2" spans="1:7" ht="18" customHeight="1" x14ac:dyDescent="0.25">
      <c r="A2" s="4" t="s">
        <v>1</v>
      </c>
      <c r="B2" s="4"/>
      <c r="C2" s="4"/>
      <c r="D2" s="4"/>
      <c r="E2" s="4"/>
      <c r="F2" s="4"/>
      <c r="G2" s="4"/>
    </row>
    <row r="4" spans="1:7" ht="24.75" customHeight="1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</row>
    <row r="5" spans="1:7" x14ac:dyDescent="0.25">
      <c r="A5" s="7" t="s">
        <v>9</v>
      </c>
      <c r="B5" s="8" t="s">
        <v>10</v>
      </c>
      <c r="C5" s="9">
        <v>6</v>
      </c>
      <c r="D5" s="7" t="s">
        <v>11</v>
      </c>
      <c r="E5" s="10">
        <v>3.3</v>
      </c>
      <c r="F5" s="10">
        <v>0</v>
      </c>
      <c r="G5" s="11" t="s">
        <v>57</v>
      </c>
    </row>
    <row r="6" spans="1:7" ht="24" x14ac:dyDescent="0.25">
      <c r="A6" s="12" t="s">
        <v>9</v>
      </c>
      <c r="B6" s="13" t="s">
        <v>12</v>
      </c>
      <c r="C6" s="14">
        <v>2</v>
      </c>
      <c r="D6" s="12" t="s">
        <v>13</v>
      </c>
      <c r="E6" s="15">
        <v>15</v>
      </c>
      <c r="F6" s="15">
        <v>0</v>
      </c>
      <c r="G6" s="11" t="s">
        <v>57</v>
      </c>
    </row>
    <row r="7" spans="1:7" x14ac:dyDescent="0.25">
      <c r="A7" s="7" t="s">
        <v>14</v>
      </c>
      <c r="B7" s="8" t="s">
        <v>15</v>
      </c>
      <c r="C7" s="9">
        <v>1</v>
      </c>
      <c r="D7" s="7" t="s">
        <v>16</v>
      </c>
      <c r="E7" s="10">
        <v>5</v>
      </c>
      <c r="F7" s="10">
        <f t="shared" ref="F5:F19" si="0">C7*E7</f>
        <v>5</v>
      </c>
      <c r="G7" s="11"/>
    </row>
    <row r="8" spans="1:7" x14ac:dyDescent="0.25">
      <c r="A8" s="12" t="s">
        <v>17</v>
      </c>
      <c r="B8" s="13" t="s">
        <v>18</v>
      </c>
      <c r="C8" s="14">
        <v>6</v>
      </c>
      <c r="D8" s="12" t="s">
        <v>19</v>
      </c>
      <c r="E8" s="15">
        <v>5</v>
      </c>
      <c r="F8" s="15">
        <f t="shared" si="0"/>
        <v>30</v>
      </c>
      <c r="G8" s="11"/>
    </row>
    <row r="9" spans="1:7" x14ac:dyDescent="0.25">
      <c r="A9" s="7" t="s">
        <v>17</v>
      </c>
      <c r="B9" s="8" t="s">
        <v>20</v>
      </c>
      <c r="C9" s="9">
        <v>2</v>
      </c>
      <c r="D9" s="7" t="s">
        <v>21</v>
      </c>
      <c r="E9" s="10">
        <v>7.5</v>
      </c>
      <c r="F9" s="10">
        <f t="shared" si="0"/>
        <v>15</v>
      </c>
      <c r="G9" s="11"/>
    </row>
    <row r="10" spans="1:7" ht="24" x14ac:dyDescent="0.25">
      <c r="A10" s="12" t="s">
        <v>22</v>
      </c>
      <c r="B10" s="13" t="s">
        <v>23</v>
      </c>
      <c r="C10" s="14">
        <v>1</v>
      </c>
      <c r="D10" s="12" t="s">
        <v>24</v>
      </c>
      <c r="E10" s="15">
        <v>25</v>
      </c>
      <c r="F10" s="15">
        <v>0</v>
      </c>
      <c r="G10" s="11" t="s">
        <v>57</v>
      </c>
    </row>
    <row r="11" spans="1:7" ht="24" x14ac:dyDescent="0.25">
      <c r="A11" s="7" t="s">
        <v>25</v>
      </c>
      <c r="B11" s="8" t="s">
        <v>26</v>
      </c>
      <c r="C11" s="9">
        <v>2</v>
      </c>
      <c r="D11" s="7" t="s">
        <v>27</v>
      </c>
      <c r="E11" s="10">
        <v>8</v>
      </c>
      <c r="F11" s="10">
        <f t="shared" si="0"/>
        <v>16</v>
      </c>
      <c r="G11" s="11"/>
    </row>
    <row r="12" spans="1:7" x14ac:dyDescent="0.25">
      <c r="A12" s="12" t="s">
        <v>25</v>
      </c>
      <c r="B12" s="13" t="s">
        <v>28</v>
      </c>
      <c r="C12" s="14">
        <v>1</v>
      </c>
      <c r="D12" s="12" t="s">
        <v>29</v>
      </c>
      <c r="E12" s="15">
        <v>5</v>
      </c>
      <c r="F12" s="15">
        <f t="shared" si="0"/>
        <v>5</v>
      </c>
      <c r="G12" s="11"/>
    </row>
    <row r="13" spans="1:7" ht="24" x14ac:dyDescent="0.25">
      <c r="A13" s="7" t="s">
        <v>30</v>
      </c>
      <c r="B13" s="8" t="s">
        <v>31</v>
      </c>
      <c r="C13" s="9">
        <v>1</v>
      </c>
      <c r="D13" s="7" t="s">
        <v>32</v>
      </c>
      <c r="E13" s="10">
        <v>5</v>
      </c>
      <c r="F13" s="10">
        <v>0</v>
      </c>
      <c r="G13" s="11" t="s">
        <v>57</v>
      </c>
    </row>
    <row r="14" spans="1:7" x14ac:dyDescent="0.25">
      <c r="A14" s="12" t="s">
        <v>33</v>
      </c>
      <c r="B14" s="13" t="s">
        <v>34</v>
      </c>
      <c r="C14" s="14">
        <v>1</v>
      </c>
      <c r="D14" s="12" t="s">
        <v>35</v>
      </c>
      <c r="E14" s="15">
        <v>10</v>
      </c>
      <c r="F14" s="15">
        <v>0</v>
      </c>
      <c r="G14" s="11" t="s">
        <v>57</v>
      </c>
    </row>
    <row r="15" spans="1:7" ht="36" x14ac:dyDescent="0.25">
      <c r="A15" s="7" t="s">
        <v>36</v>
      </c>
      <c r="B15" s="8" t="s">
        <v>37</v>
      </c>
      <c r="C15" s="9">
        <v>1</v>
      </c>
      <c r="D15" s="7" t="s">
        <v>38</v>
      </c>
      <c r="E15" s="10">
        <v>41</v>
      </c>
      <c r="F15" s="10">
        <f>C15*E15</f>
        <v>41</v>
      </c>
      <c r="G15" s="11"/>
    </row>
    <row r="16" spans="1:7" ht="24" x14ac:dyDescent="0.25">
      <c r="A16" s="12" t="s">
        <v>39</v>
      </c>
      <c r="B16" s="13" t="s">
        <v>40</v>
      </c>
      <c r="C16" s="14">
        <v>1</v>
      </c>
      <c r="D16" s="12" t="s">
        <v>41</v>
      </c>
      <c r="E16" s="15">
        <v>20</v>
      </c>
      <c r="F16" s="15">
        <v>0</v>
      </c>
      <c r="G16" s="11" t="s">
        <v>57</v>
      </c>
    </row>
    <row r="17" spans="1:7" ht="24" x14ac:dyDescent="0.25">
      <c r="A17" s="7" t="s">
        <v>39</v>
      </c>
      <c r="B17" s="8" t="s">
        <v>42</v>
      </c>
      <c r="C17" s="9">
        <v>1</v>
      </c>
      <c r="D17" s="7" t="s">
        <v>43</v>
      </c>
      <c r="E17" s="10">
        <v>15</v>
      </c>
      <c r="F17" s="10">
        <v>0</v>
      </c>
      <c r="G17" s="11" t="s">
        <v>57</v>
      </c>
    </row>
    <row r="18" spans="1:7" ht="24" x14ac:dyDescent="0.25">
      <c r="A18" s="12" t="s">
        <v>44</v>
      </c>
      <c r="B18" s="13" t="s">
        <v>45</v>
      </c>
      <c r="C18" s="14">
        <v>1</v>
      </c>
      <c r="D18" s="12" t="s">
        <v>46</v>
      </c>
      <c r="E18" s="15">
        <v>10</v>
      </c>
      <c r="F18" s="15">
        <f t="shared" si="0"/>
        <v>10</v>
      </c>
      <c r="G18" s="11" t="s">
        <v>57</v>
      </c>
    </row>
    <row r="19" spans="1:7" ht="24" x14ac:dyDescent="0.25">
      <c r="A19" s="7" t="s">
        <v>47</v>
      </c>
      <c r="B19" s="8" t="s">
        <v>48</v>
      </c>
      <c r="C19" s="9">
        <v>1</v>
      </c>
      <c r="D19" s="7" t="s">
        <v>49</v>
      </c>
      <c r="E19" s="10">
        <v>15</v>
      </c>
      <c r="F19" s="10">
        <f t="shared" si="0"/>
        <v>15</v>
      </c>
      <c r="G19" s="11"/>
    </row>
    <row r="20" spans="1:7" x14ac:dyDescent="0.25">
      <c r="A20" s="3" t="s">
        <v>50</v>
      </c>
      <c r="B20" s="3"/>
      <c r="C20" s="3"/>
      <c r="D20" s="3"/>
      <c r="E20" s="16">
        <f>SUM(E5:E19)</f>
        <v>189.8</v>
      </c>
      <c r="F20" s="17">
        <f>SUM(F5:F19)</f>
        <v>137</v>
      </c>
      <c r="G20" s="18"/>
    </row>
    <row r="22" spans="1:7" x14ac:dyDescent="0.25">
      <c r="A22" s="2" t="s">
        <v>51</v>
      </c>
      <c r="B22" s="2"/>
      <c r="C22" s="2"/>
      <c r="D22" s="2"/>
      <c r="E22" s="2"/>
      <c r="F22" s="2"/>
      <c r="G22" s="2"/>
    </row>
    <row r="23" spans="1:7" x14ac:dyDescent="0.25">
      <c r="A23" s="1" t="s">
        <v>52</v>
      </c>
      <c r="B23" s="1"/>
      <c r="C23" s="1"/>
      <c r="D23" s="1"/>
      <c r="E23" s="1"/>
      <c r="F23" s="1"/>
      <c r="G23" s="1"/>
    </row>
    <row r="24" spans="1:7" x14ac:dyDescent="0.25">
      <c r="A24" s="1" t="s">
        <v>53</v>
      </c>
      <c r="B24" s="1"/>
      <c r="C24" s="1"/>
      <c r="D24" s="1"/>
      <c r="E24" s="1"/>
      <c r="F24" s="1"/>
      <c r="G24" s="1"/>
    </row>
    <row r="25" spans="1:7" x14ac:dyDescent="0.25">
      <c r="A25" s="1" t="s">
        <v>54</v>
      </c>
      <c r="B25" s="1"/>
      <c r="C25" s="1"/>
      <c r="D25" s="1"/>
      <c r="E25" s="1"/>
      <c r="F25" s="1"/>
      <c r="G25" s="1"/>
    </row>
    <row r="26" spans="1:7" x14ac:dyDescent="0.25">
      <c r="A26" s="1" t="s">
        <v>55</v>
      </c>
      <c r="B26" s="1"/>
      <c r="C26" s="1"/>
      <c r="D26" s="1"/>
      <c r="E26" s="1"/>
      <c r="F26" s="1"/>
      <c r="G26" s="1"/>
    </row>
    <row r="27" spans="1:7" x14ac:dyDescent="0.25">
      <c r="A27" s="1" t="s">
        <v>56</v>
      </c>
      <c r="B27" s="1"/>
      <c r="C27" s="1"/>
      <c r="D27" s="1"/>
      <c r="E27" s="1"/>
      <c r="F27" s="1"/>
      <c r="G27" s="1"/>
    </row>
  </sheetData>
  <mergeCells count="9">
    <mergeCell ref="A24:G24"/>
    <mergeCell ref="A25:G25"/>
    <mergeCell ref="A26:G26"/>
    <mergeCell ref="A27:G27"/>
    <mergeCell ref="A1:G1"/>
    <mergeCell ref="A2:G2"/>
    <mergeCell ref="A20:D20"/>
    <mergeCell ref="A22:G22"/>
    <mergeCell ref="A23:G23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 Drone Autonome</vt:lpstr>
      <vt:lpstr>'BOM Drone Autonome'!Print_Area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TISSOT Léo</cp:lastModifiedBy>
  <cp:revision>0</cp:revision>
  <dcterms:created xsi:type="dcterms:W3CDTF">2026-10-28T09:42:18Z</dcterms:created>
  <dcterms:modified xsi:type="dcterms:W3CDTF">2026-10-28T10:12:06Z</dcterms:modified>
  <dc:language>en-US</dc:language>
</cp:coreProperties>
</file>